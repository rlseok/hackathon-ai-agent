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CB" sheetId="1" state="visible" r:id="rId1"/>
    <sheet xmlns:r="http://schemas.openxmlformats.org/officeDocument/2006/relationships" name="Metal Surface" sheetId="2" state="visible" r:id="rId2"/>
    <sheet xmlns:r="http://schemas.openxmlformats.org/officeDocument/2006/relationships" name="Mobile Surfa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\-#,##0;&quot;-&quot;"/>
    <numFmt numFmtId="165" formatCode="0.0%;\-0.0%;&quot;-&quot;"/>
  </numFmts>
  <fonts count="6">
    <font>
      <name val="Calibri"/>
      <family val="2"/>
      <color theme="1"/>
      <sz val="11"/>
      <scheme val="minor"/>
    </font>
    <font>
      <b val="1"/>
      <sz val="14"/>
    </font>
    <font>
      <color rgb="00555555"/>
    </font>
    <font>
      <b val="1"/>
    </font>
    <font>
      <color rgb="000000FF"/>
    </font>
    <font>
      <i val="1"/>
      <color rgb="00555555"/>
    </font>
  </fonts>
  <fills count="6">
    <fill>
      <patternFill/>
    </fill>
    <fill>
      <patternFill patternType="gray125"/>
    </fill>
    <fill>
      <patternFill patternType="solid">
        <fgColor rgb="00DCE3EA"/>
      </patternFill>
    </fill>
    <fill>
      <patternFill patternType="solid">
        <fgColor rgb="00D9EAD3"/>
      </patternFill>
    </fill>
    <fill>
      <patternFill patternType="solid">
        <fgColor rgb="00F3F3F3"/>
      </patternFill>
    </fill>
    <fill>
      <patternFill patternType="solid">
        <fgColor rgb="00FCE5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/>
    </xf>
    <xf numFmtId="164" fontId="4" fillId="3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 wrapText="1"/>
    </xf>
    <xf numFmtId="164" fontId="4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164" fontId="4" fillId="5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18.6" customHeight="1">
      <c r="A1" s="1" t="inlineStr">
        <is>
          <t>PCB defect detection — confusion matrix (test set)</t>
        </is>
      </c>
    </row>
    <row r="2">
      <c r="A2" s="2" t="inlineStr">
        <is>
          <t>Model: pcb_v2_yolo11s.pt · Test: 980 images, 5,082 labeled defects · detections with confidence ≥ 0.25</t>
        </is>
      </c>
    </row>
    <row r="4" ht="31.95" customHeight="1">
      <c r="A4" s="3" t="inlineStr">
        <is>
          <t>Predicted \ True</t>
        </is>
      </c>
      <c r="B4" s="3" t="inlineStr">
        <is>
          <t>False copper</t>
        </is>
      </c>
      <c r="C4" s="3" t="inlineStr">
        <is>
          <t>Missing hole</t>
        </is>
      </c>
      <c r="D4" s="3" t="inlineStr">
        <is>
          <t>Mouse bite</t>
        </is>
      </c>
      <c r="E4" s="3" t="inlineStr">
        <is>
          <t>Open circuit</t>
        </is>
      </c>
      <c r="F4" s="3" t="inlineStr">
        <is>
          <t>Pin hole</t>
        </is>
      </c>
      <c r="G4" s="3" t="inlineStr">
        <is>
          <t>Scratch</t>
        </is>
      </c>
      <c r="H4" s="3" t="inlineStr">
        <is>
          <t>Short circuit</t>
        </is>
      </c>
      <c r="I4" s="3" t="inlineStr">
        <is>
          <t>Spur</t>
        </is>
      </c>
      <c r="J4" s="3" t="inlineStr">
        <is>
          <t>Background
(false positive)</t>
        </is>
      </c>
    </row>
    <row r="5">
      <c r="A5" s="4" t="inlineStr">
        <is>
          <t>False copper</t>
        </is>
      </c>
      <c r="B5" s="5" t="n">
        <v>458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2</v>
      </c>
      <c r="J5" s="7" t="n">
        <v>12</v>
      </c>
    </row>
    <row r="6">
      <c r="A6" s="4" t="inlineStr">
        <is>
          <t>Missing hole</t>
        </is>
      </c>
      <c r="B6" s="6" t="n">
        <v>0</v>
      </c>
      <c r="C6" s="5" t="n">
        <v>433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7" t="n">
        <v>66</v>
      </c>
    </row>
    <row r="7">
      <c r="A7" s="4" t="inlineStr">
        <is>
          <t>Mouse bite</t>
        </is>
      </c>
      <c r="B7" s="6" t="n">
        <v>0</v>
      </c>
      <c r="C7" s="6" t="n">
        <v>0</v>
      </c>
      <c r="D7" s="5" t="n">
        <v>704</v>
      </c>
      <c r="E7" s="6" t="n">
        <v>5</v>
      </c>
      <c r="F7" s="6" t="n">
        <v>0</v>
      </c>
      <c r="G7" s="6" t="n">
        <v>0</v>
      </c>
      <c r="H7" s="6" t="n">
        <v>0</v>
      </c>
      <c r="I7" s="6" t="n">
        <v>0</v>
      </c>
      <c r="J7" s="7" t="n">
        <v>29</v>
      </c>
    </row>
    <row r="8">
      <c r="A8" s="4" t="inlineStr">
        <is>
          <t>Open circuit</t>
        </is>
      </c>
      <c r="B8" s="6" t="n">
        <v>0</v>
      </c>
      <c r="C8" s="6" t="n">
        <v>0</v>
      </c>
      <c r="D8" s="6" t="n">
        <v>4</v>
      </c>
      <c r="E8" s="5" t="n">
        <v>686</v>
      </c>
      <c r="F8" s="6" t="n">
        <v>0</v>
      </c>
      <c r="G8" s="6" t="n">
        <v>0</v>
      </c>
      <c r="H8" s="6" t="n">
        <v>0</v>
      </c>
      <c r="I8" s="6" t="n">
        <v>0</v>
      </c>
      <c r="J8" s="7" t="n">
        <v>63</v>
      </c>
    </row>
    <row r="9">
      <c r="A9" s="4" t="inlineStr">
        <is>
          <t>Pin hole</t>
        </is>
      </c>
      <c r="B9" s="6" t="n">
        <v>0</v>
      </c>
      <c r="C9" s="6" t="n">
        <v>0</v>
      </c>
      <c r="D9" s="6" t="n">
        <v>0</v>
      </c>
      <c r="E9" s="6" t="n">
        <v>0</v>
      </c>
      <c r="F9" s="5" t="n">
        <v>708</v>
      </c>
      <c r="G9" s="6" t="n">
        <v>0</v>
      </c>
      <c r="H9" s="6" t="n">
        <v>0</v>
      </c>
      <c r="I9" s="6" t="n">
        <v>0</v>
      </c>
      <c r="J9" s="7" t="n">
        <v>60</v>
      </c>
    </row>
    <row r="10">
      <c r="A10" s="4" t="inlineStr">
        <is>
          <t>Scratch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5" t="n">
        <v>498</v>
      </c>
      <c r="H10" s="6" t="n">
        <v>0</v>
      </c>
      <c r="I10" s="6" t="n">
        <v>0</v>
      </c>
      <c r="J10" s="7" t="n">
        <v>124</v>
      </c>
    </row>
    <row r="11">
      <c r="A11" s="4" t="inlineStr">
        <is>
          <t>Short circuit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5" t="n">
        <v>538</v>
      </c>
      <c r="I11" s="6" t="n">
        <v>1</v>
      </c>
      <c r="J11" s="7" t="n">
        <v>83</v>
      </c>
    </row>
    <row r="12">
      <c r="A12" s="4" t="inlineStr">
        <is>
          <t>Spur</t>
        </is>
      </c>
      <c r="B12" s="6" t="n">
        <v>2</v>
      </c>
      <c r="C12" s="6" t="n">
        <v>0</v>
      </c>
      <c r="D12" s="6" t="n">
        <v>1</v>
      </c>
      <c r="E12" s="6" t="n">
        <v>0</v>
      </c>
      <c r="F12" s="6" t="n">
        <v>0</v>
      </c>
      <c r="G12" s="6" t="n">
        <v>0</v>
      </c>
      <c r="H12" s="6" t="n">
        <v>0</v>
      </c>
      <c r="I12" s="5" t="n">
        <v>541</v>
      </c>
      <c r="J12" s="7" t="n">
        <v>23</v>
      </c>
    </row>
    <row r="13">
      <c r="A13" s="8" t="inlineStr">
        <is>
          <t>Background (missed)</t>
        </is>
      </c>
      <c r="B13" s="9" t="n">
        <v>17</v>
      </c>
      <c r="C13" s="9" t="n">
        <v>34</v>
      </c>
      <c r="D13" s="9" t="n">
        <v>70</v>
      </c>
      <c r="E13" s="9" t="n">
        <v>102</v>
      </c>
      <c r="F13" s="9" t="n">
        <v>27</v>
      </c>
      <c r="G13" s="9" t="n">
        <v>47</v>
      </c>
      <c r="H13" s="9" t="n">
        <v>128</v>
      </c>
      <c r="I13" s="9" t="n">
        <v>76</v>
      </c>
    </row>
    <row r="14">
      <c r="A14" s="4" t="inlineStr">
        <is>
          <t>True total</t>
        </is>
      </c>
      <c r="B14" s="10">
        <f>SUM(B5:B13)</f>
        <v/>
      </c>
      <c r="C14" s="10">
        <f>SUM(C5:C13)</f>
        <v/>
      </c>
      <c r="D14" s="10">
        <f>SUM(D5:D13)</f>
        <v/>
      </c>
      <c r="E14" s="10">
        <f>SUM(E5:E13)</f>
        <v/>
      </c>
      <c r="F14" s="10">
        <f>SUM(F5:F13)</f>
        <v/>
      </c>
      <c r="G14" s="10">
        <f>SUM(G5:G13)</f>
        <v/>
      </c>
      <c r="H14" s="10">
        <f>SUM(H5:H13)</f>
        <v/>
      </c>
      <c r="I14" s="10">
        <f>SUM(I5:I13)</f>
        <v/>
      </c>
    </row>
    <row r="15">
      <c r="A15" s="4" t="inlineStr">
        <is>
          <t>Recall (found as the right type)</t>
        </is>
      </c>
      <c r="B15" s="11">
        <f>IF(B14=0,0,B5/B14)</f>
        <v/>
      </c>
      <c r="C15" s="11">
        <f>IF(C14=0,0,C6/C14)</f>
        <v/>
      </c>
      <c r="D15" s="11">
        <f>IF(D14=0,0,D7/D14)</f>
        <v/>
      </c>
      <c r="E15" s="11">
        <f>IF(E14=0,0,E8/E14)</f>
        <v/>
      </c>
      <c r="F15" s="11">
        <f>IF(F14=0,0,F9/F14)</f>
        <v/>
      </c>
      <c r="G15" s="11">
        <f>IF(G14=0,0,G10/G14)</f>
        <v/>
      </c>
      <c r="H15" s="11">
        <f>IF(H14=0,0,H11/H14)</f>
        <v/>
      </c>
      <c r="I15" s="11">
        <f>IF(I14=0,0,I12/I14)</f>
        <v/>
      </c>
    </row>
    <row r="16">
      <c r="A16" s="4" t="inlineStr">
        <is>
          <t>Missed rate</t>
        </is>
      </c>
      <c r="B16" s="11">
        <f>IF(B14=0,0,B13/B14)</f>
        <v/>
      </c>
      <c r="C16" s="11">
        <f>IF(C14=0,0,C13/C14)</f>
        <v/>
      </c>
      <c r="D16" s="11">
        <f>IF(D14=0,0,D13/D14)</f>
        <v/>
      </c>
      <c r="E16" s="11">
        <f>IF(E14=0,0,E13/E14)</f>
        <v/>
      </c>
      <c r="F16" s="11">
        <f>IF(F14=0,0,F13/F14)</f>
        <v/>
      </c>
      <c r="G16" s="11">
        <f>IF(G14=0,0,G13/G14)</f>
        <v/>
      </c>
      <c r="H16" s="11">
        <f>IF(H14=0,0,H13/H14)</f>
        <v/>
      </c>
      <c r="I16" s="11">
        <f>IF(I14=0,0,I13/I14)</f>
        <v/>
      </c>
    </row>
    <row r="18">
      <c r="A18" s="4" t="inlineStr">
        <is>
          <t>All defects (true total)</t>
        </is>
      </c>
      <c r="B18" s="10">
        <f>SUM(B14:I14)</f>
        <v/>
      </c>
    </row>
    <row r="19">
      <c r="A19" s="4" t="inlineStr">
        <is>
          <t>Overall recall</t>
        </is>
      </c>
      <c r="B19" s="11">
        <f>IF(B18=0,0,(B5+C6+D7+E8+F9+G10+H11+I12)/B18)</f>
        <v/>
      </c>
    </row>
    <row r="20">
      <c r="A20" s="4" t="inlineStr">
        <is>
          <t>Overall missed rate</t>
        </is>
      </c>
      <c r="B20" s="11">
        <f>IF(B18=0,0,SUM(B13:I13)/B18)</f>
        <v/>
      </c>
    </row>
    <row r="22">
      <c r="A22" s="12" t="inlineStr">
        <is>
          <t>How to read</t>
        </is>
      </c>
    </row>
    <row r="23">
      <c r="A23" t="inlineStr">
        <is>
          <t>• Green diagonal = defects found and named correctly. Off-diagonal = found but named as another type.</t>
        </is>
      </c>
    </row>
    <row r="24">
      <c r="A24" t="inlineStr">
        <is>
          <t>• Orange row "Background (missed)" = real defects the model did not find.</t>
        </is>
      </c>
    </row>
    <row r="25">
      <c r="A25" t="inlineStr">
        <is>
          <t>• Grey column "Background (false positive)" = detections where there is no labeled defect.</t>
        </is>
      </c>
    </row>
    <row r="26">
      <c r="A26" t="inlineStr">
        <is>
          <t>• Counts include only detections with confidence ≥ 0.25 (the agent's operating threshold).</t>
        </is>
      </c>
    </row>
    <row r="27">
      <c r="A27" t="inlineStr">
        <is>
          <t>• Blue numbers are values produced by the validation run; black cells are formulas.</t>
        </is>
      </c>
    </row>
    <row r="28">
      <c r="A28" s="13" t="inlineStr">
        <is>
          <t>Source: ultralytics val on the held-out test split, model pcb_v2_yolo11s.pt. Rows = predicted class, columns = true class. Regenerate with tools/make_result_workbooks.py.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18.6" customHeight="1">
      <c r="A1" s="1" t="inlineStr">
        <is>
          <t>Metal Surface defect segmentation — confusion matrix (test set)</t>
        </is>
      </c>
    </row>
    <row r="2">
      <c r="A2" s="2" t="inlineStr">
        <is>
          <t>Model: msdd_v1_yolo11s_seg.pt · Test: 150 images, 384 labeled defects · detections with confidence ≥ 0.25</t>
        </is>
      </c>
    </row>
    <row r="4" ht="31.95" customHeight="1">
      <c r="A4" s="3" t="inlineStr">
        <is>
          <t>Predicted \ True</t>
        </is>
      </c>
      <c r="B4" s="3" t="inlineStr">
        <is>
          <t>Dark Spot</t>
        </is>
      </c>
      <c r="C4" s="3" t="inlineStr">
        <is>
          <t>Fold</t>
        </is>
      </c>
      <c r="D4" s="3" t="inlineStr">
        <is>
          <t>Oxidation</t>
        </is>
      </c>
      <c r="E4" s="3" t="inlineStr">
        <is>
          <t>Porosity</t>
        </is>
      </c>
      <c r="F4" s="3" t="inlineStr">
        <is>
          <t>Scratch</t>
        </is>
      </c>
      <c r="G4" s="3" t="inlineStr">
        <is>
          <t>Stain</t>
        </is>
      </c>
      <c r="H4" s="3" t="inlineStr">
        <is>
          <t>Background
(false positive)</t>
        </is>
      </c>
    </row>
    <row r="5">
      <c r="A5" s="4" t="inlineStr">
        <is>
          <t>Dark Spot</t>
        </is>
      </c>
      <c r="B5" s="5" t="n">
        <v>61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7" t="n">
        <v>22</v>
      </c>
    </row>
    <row r="6">
      <c r="A6" s="4" t="inlineStr">
        <is>
          <t>Fold</t>
        </is>
      </c>
      <c r="B6" s="6" t="n">
        <v>0</v>
      </c>
      <c r="C6" s="5" t="n">
        <v>14</v>
      </c>
      <c r="D6" s="6" t="n">
        <v>1</v>
      </c>
      <c r="E6" s="6" t="n">
        <v>1</v>
      </c>
      <c r="F6" s="6" t="n">
        <v>0</v>
      </c>
      <c r="G6" s="6" t="n">
        <v>0</v>
      </c>
      <c r="H6" s="7" t="n">
        <v>15</v>
      </c>
    </row>
    <row r="7">
      <c r="A7" s="4" t="inlineStr">
        <is>
          <t>Oxidation</t>
        </is>
      </c>
      <c r="B7" s="6" t="n">
        <v>0</v>
      </c>
      <c r="C7" s="6" t="n">
        <v>0</v>
      </c>
      <c r="D7" s="5" t="n">
        <v>19</v>
      </c>
      <c r="E7" s="6" t="n">
        <v>0</v>
      </c>
      <c r="F7" s="6" t="n">
        <v>0</v>
      </c>
      <c r="G7" s="6" t="n">
        <v>0</v>
      </c>
      <c r="H7" s="7" t="n">
        <v>20</v>
      </c>
    </row>
    <row r="8">
      <c r="A8" s="4" t="inlineStr">
        <is>
          <t>Porosity</t>
        </is>
      </c>
      <c r="B8" s="6" t="n">
        <v>0</v>
      </c>
      <c r="C8" s="6" t="n">
        <v>0</v>
      </c>
      <c r="D8" s="6" t="n">
        <v>0</v>
      </c>
      <c r="E8" s="5" t="n">
        <v>43</v>
      </c>
      <c r="F8" s="6" t="n">
        <v>0</v>
      </c>
      <c r="G8" s="6" t="n">
        <v>0</v>
      </c>
      <c r="H8" s="7" t="n">
        <v>25</v>
      </c>
    </row>
    <row r="9">
      <c r="A9" s="4" t="inlineStr">
        <is>
          <t>Scratch</t>
        </is>
      </c>
      <c r="B9" s="6" t="n">
        <v>0</v>
      </c>
      <c r="C9" s="6" t="n">
        <v>5</v>
      </c>
      <c r="D9" s="6" t="n">
        <v>3</v>
      </c>
      <c r="E9" s="6" t="n">
        <v>0</v>
      </c>
      <c r="F9" s="5" t="n">
        <v>57</v>
      </c>
      <c r="G9" s="6" t="n">
        <v>0</v>
      </c>
      <c r="H9" s="7" t="n">
        <v>65</v>
      </c>
    </row>
    <row r="10">
      <c r="A10" s="4" t="inlineStr">
        <is>
          <t>Stain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5" t="n">
        <v>25</v>
      </c>
      <c r="H10" s="7" t="n">
        <v>1</v>
      </c>
    </row>
    <row r="11">
      <c r="A11" s="8" t="inlineStr">
        <is>
          <t>Background (missed)</t>
        </is>
      </c>
      <c r="B11" s="9" t="n">
        <v>16</v>
      </c>
      <c r="C11" s="9" t="n">
        <v>19</v>
      </c>
      <c r="D11" s="9" t="n">
        <v>25</v>
      </c>
      <c r="E11" s="9" t="n">
        <v>36</v>
      </c>
      <c r="F11" s="9" t="n">
        <v>59</v>
      </c>
      <c r="G11" s="9" t="n">
        <v>0</v>
      </c>
    </row>
    <row r="12">
      <c r="A12" s="4" t="inlineStr">
        <is>
          <t>True total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</row>
    <row r="13">
      <c r="A13" s="4" t="inlineStr">
        <is>
          <t>Recall (found as the right type)</t>
        </is>
      </c>
      <c r="B13" s="11">
        <f>IF(B12=0,0,B5/B12)</f>
        <v/>
      </c>
      <c r="C13" s="11">
        <f>IF(C12=0,0,C6/C12)</f>
        <v/>
      </c>
      <c r="D13" s="11">
        <f>IF(D12=0,0,D7/D12)</f>
        <v/>
      </c>
      <c r="E13" s="11">
        <f>IF(E12=0,0,E8/E12)</f>
        <v/>
      </c>
      <c r="F13" s="11">
        <f>IF(F12=0,0,F9/F12)</f>
        <v/>
      </c>
      <c r="G13" s="11">
        <f>IF(G12=0,0,G10/G12)</f>
        <v/>
      </c>
    </row>
    <row r="14">
      <c r="A14" s="4" t="inlineStr">
        <is>
          <t>Missed rate</t>
        </is>
      </c>
      <c r="B14" s="11">
        <f>IF(B12=0,0,B11/B12)</f>
        <v/>
      </c>
      <c r="C14" s="11">
        <f>IF(C12=0,0,C11/C12)</f>
        <v/>
      </c>
      <c r="D14" s="11">
        <f>IF(D12=0,0,D11/D12)</f>
        <v/>
      </c>
      <c r="E14" s="11">
        <f>IF(E12=0,0,E11/E12)</f>
        <v/>
      </c>
      <c r="F14" s="11">
        <f>IF(F12=0,0,F11/F12)</f>
        <v/>
      </c>
      <c r="G14" s="11">
        <f>IF(G12=0,0,G11/G12)</f>
        <v/>
      </c>
    </row>
    <row r="16">
      <c r="A16" s="4" t="inlineStr">
        <is>
          <t>All defects (true total)</t>
        </is>
      </c>
      <c r="B16" s="10">
        <f>SUM(B12:G12)</f>
        <v/>
      </c>
    </row>
    <row r="17">
      <c r="A17" s="4" t="inlineStr">
        <is>
          <t>Overall recall</t>
        </is>
      </c>
      <c r="B17" s="11">
        <f>IF(B16=0,0,(B5+C6+D7+E8+F9+G10)/B16)</f>
        <v/>
      </c>
    </row>
    <row r="18">
      <c r="A18" s="4" t="inlineStr">
        <is>
          <t>Overall missed rate</t>
        </is>
      </c>
      <c r="B18" s="11">
        <f>IF(B16=0,0,SUM(B11:G11)/B16)</f>
        <v/>
      </c>
    </row>
    <row r="20">
      <c r="A20" s="12" t="inlineStr">
        <is>
          <t>How to read</t>
        </is>
      </c>
    </row>
    <row r="21">
      <c r="A21" t="inlineStr">
        <is>
          <t>• Green diagonal = defects found and named correctly. Off-diagonal = found but named as another type.</t>
        </is>
      </c>
    </row>
    <row r="22">
      <c r="A22" t="inlineStr">
        <is>
          <t>• Orange row "Background (missed)" = real defects the model did not find.</t>
        </is>
      </c>
    </row>
    <row r="23">
      <c r="A23" t="inlineStr">
        <is>
          <t>• Grey column "Background (false positive)" = detections where there is no labeled defect.</t>
        </is>
      </c>
    </row>
    <row r="24">
      <c r="A24" t="inlineStr">
        <is>
          <t>• Counts include only detections with confidence ≥ 0.25 (the agent's operating threshold).</t>
        </is>
      </c>
    </row>
    <row r="25">
      <c r="A25" t="inlineStr">
        <is>
          <t>• Blue numbers are values produced by the validation run; black cells are formulas.</t>
        </is>
      </c>
    </row>
    <row r="26">
      <c r="A26" s="13" t="inlineStr">
        <is>
          <t>Source: ultralytics val on the held-out test split, model msdd_v1_yolo11s_seg.pt. Rows = predicted class, columns = true class. Regenerate with tools/make_result_workbooks.py.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18.6" customHeight="1">
      <c r="A1" s="1" t="inlineStr">
        <is>
          <t>Mobile Surface defect segmentation — confusion matrix (test set)</t>
        </is>
      </c>
    </row>
    <row r="2">
      <c r="A2" s="2" t="inlineStr">
        <is>
          <t>Model: mobile_surface_yolo11s_seg.pt · Test: 122 images, 335 labeled defects · detections with confidence ≥ 0.25</t>
        </is>
      </c>
    </row>
    <row r="4" ht="31.95" customHeight="1">
      <c r="A4" s="3" t="inlineStr">
        <is>
          <t>Predicted \ True</t>
        </is>
      </c>
      <c r="B4" s="3" t="inlineStr">
        <is>
          <t>Oil</t>
        </is>
      </c>
      <c r="C4" s="3" t="inlineStr">
        <is>
          <t>Scratch</t>
        </is>
      </c>
      <c r="D4" s="3" t="inlineStr">
        <is>
          <t>Stain</t>
        </is>
      </c>
      <c r="E4" s="3" t="inlineStr">
        <is>
          <t>Background
(false positive)</t>
        </is>
      </c>
    </row>
    <row r="5">
      <c r="A5" s="4" t="inlineStr">
        <is>
          <t>Oil</t>
        </is>
      </c>
      <c r="B5" s="5" t="n">
        <v>50</v>
      </c>
      <c r="C5" s="6" t="n">
        <v>0</v>
      </c>
      <c r="D5" s="6" t="n">
        <v>0</v>
      </c>
      <c r="E5" s="7" t="n">
        <v>0</v>
      </c>
    </row>
    <row r="6">
      <c r="A6" s="4" t="inlineStr">
        <is>
          <t>Scratch</t>
        </is>
      </c>
      <c r="B6" s="6" t="n">
        <v>0</v>
      </c>
      <c r="C6" s="5" t="n">
        <v>153</v>
      </c>
      <c r="D6" s="6" t="n">
        <v>0</v>
      </c>
      <c r="E6" s="7" t="n">
        <v>2</v>
      </c>
    </row>
    <row r="7">
      <c r="A7" s="4" t="inlineStr">
        <is>
          <t>Stain</t>
        </is>
      </c>
      <c r="B7" s="6" t="n">
        <v>0</v>
      </c>
      <c r="C7" s="6" t="n">
        <v>0</v>
      </c>
      <c r="D7" s="5" t="n">
        <v>127</v>
      </c>
      <c r="E7" s="7" t="n">
        <v>19</v>
      </c>
    </row>
    <row r="8">
      <c r="A8" s="8" t="inlineStr">
        <is>
          <t>Background (missed)</t>
        </is>
      </c>
      <c r="B8" s="9" t="n">
        <v>1</v>
      </c>
      <c r="C8" s="9" t="n">
        <v>2</v>
      </c>
      <c r="D8" s="9" t="n">
        <v>2</v>
      </c>
    </row>
    <row r="9">
      <c r="A9" s="4" t="inlineStr">
        <is>
          <t>True total</t>
        </is>
      </c>
      <c r="B9" s="10">
        <f>SUM(B5:B8)</f>
        <v/>
      </c>
      <c r="C9" s="10">
        <f>SUM(C5:C8)</f>
        <v/>
      </c>
      <c r="D9" s="10">
        <f>SUM(D5:D8)</f>
        <v/>
      </c>
    </row>
    <row r="10">
      <c r="A10" s="4" t="inlineStr">
        <is>
          <t>Recall (found as the right type)</t>
        </is>
      </c>
      <c r="B10" s="11">
        <f>IF(B9=0,0,B5/B9)</f>
        <v/>
      </c>
      <c r="C10" s="11">
        <f>IF(C9=0,0,C6/C9)</f>
        <v/>
      </c>
      <c r="D10" s="11">
        <f>IF(D9=0,0,D7/D9)</f>
        <v/>
      </c>
    </row>
    <row r="11">
      <c r="A11" s="4" t="inlineStr">
        <is>
          <t>Missed rate</t>
        </is>
      </c>
      <c r="B11" s="11">
        <f>IF(B9=0,0,B8/B9)</f>
        <v/>
      </c>
      <c r="C11" s="11">
        <f>IF(C9=0,0,C8/C9)</f>
        <v/>
      </c>
      <c r="D11" s="11">
        <f>IF(D9=0,0,D8/D9)</f>
        <v/>
      </c>
    </row>
    <row r="13">
      <c r="A13" s="4" t="inlineStr">
        <is>
          <t>All defects (true total)</t>
        </is>
      </c>
      <c r="B13" s="10">
        <f>SUM(B9:D9)</f>
        <v/>
      </c>
    </row>
    <row r="14">
      <c r="A14" s="4" t="inlineStr">
        <is>
          <t>Overall recall</t>
        </is>
      </c>
      <c r="B14" s="11">
        <f>IF(B13=0,0,(B5+C6+D7)/B13)</f>
        <v/>
      </c>
    </row>
    <row r="15">
      <c r="A15" s="4" t="inlineStr">
        <is>
          <t>Overall missed rate</t>
        </is>
      </c>
      <c r="B15" s="11">
        <f>IF(B13=0,0,SUM(B8:D8)/B13)</f>
        <v/>
      </c>
    </row>
    <row r="17">
      <c r="A17" s="12" t="inlineStr">
        <is>
          <t>How to read</t>
        </is>
      </c>
    </row>
    <row r="18">
      <c r="A18" t="inlineStr">
        <is>
          <t>• Green diagonal = defects found and named correctly. Off-diagonal = found but named as another type.</t>
        </is>
      </c>
    </row>
    <row r="19">
      <c r="A19" t="inlineStr">
        <is>
          <t>• Orange row "Background (missed)" = real defects the model did not find.</t>
        </is>
      </c>
    </row>
    <row r="20">
      <c r="A20" t="inlineStr">
        <is>
          <t>• Grey column "Background (false positive)" = detections where there is no labeled defect.</t>
        </is>
      </c>
    </row>
    <row r="21">
      <c r="A21" t="inlineStr">
        <is>
          <t>• Counts include only detections with confidence ≥ 0.25 (the agent's operating threshold).</t>
        </is>
      </c>
    </row>
    <row r="22">
      <c r="A22" t="inlineStr">
        <is>
          <t>• Blue numbers are values produced by the validation run; black cells are formulas.</t>
        </is>
      </c>
    </row>
    <row r="23">
      <c r="A23" s="13" t="inlineStr">
        <is>
          <t>Source: ultralytics val on the held-out test split, model mobile_surface_yolo11s_seg.pt. Rows = predicted class, columns = true class. Regenerate with tools/make_result_workbooks.py.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2026-10-21T04:17:41Z</dcterms:created>
  <dcterms:modified xmlns:dcterms="http://purl.org/dc/terms/" xmlns:xsi="http://www.w3.org/2001/XMLSchema-instance" xsi:type="dcterms:W3CDTF">2026-10-21T04:19:51Z</dcterms:modified>
</cp:coreProperties>
</file>