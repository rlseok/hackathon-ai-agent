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CB" sheetId="2" state="visible" r:id="rId2"/>
    <sheet xmlns:r="http://schemas.openxmlformats.org/officeDocument/2006/relationships" name="Metal Surface" sheetId="3" state="visible" r:id="rId3"/>
    <sheet xmlns:r="http://schemas.openxmlformats.org/officeDocument/2006/relationships" name="Mobile Surfa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-#,##0;&quot;-&quot;"/>
    <numFmt numFmtId="165" formatCode="0.000;\-0.000;&quot;-&quot;"/>
    <numFmt numFmtId="166" formatCode="0.0&quot; ms&quot;"/>
    <numFmt numFmtId="167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color rgb="00555555"/>
    </font>
    <font>
      <b val="1"/>
    </font>
    <font>
      <color rgb="000000FF"/>
    </font>
    <font>
      <b val="1"/>
      <color rgb="000000FF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DCE3EA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164" fontId="3" fillId="3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165" fontId="5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18.6" customHeight="1">
      <c r="A1" s="1" t="inlineStr">
        <is>
          <t>Model performance on the held-out test sets</t>
        </is>
      </c>
    </row>
    <row r="2">
      <c r="A2" s="2" t="inlineStr">
        <is>
          <t>Detectors used by the agent (YOLO11s). P / R / F1 at the best-F1 confidence; IoU 0.5. Per-class tables are on the other sheets.</t>
        </is>
      </c>
    </row>
    <row r="4" ht="31.95" customHeight="1">
      <c r="A4" s="3" t="inlineStr">
        <is>
          <t>Domain</t>
        </is>
      </c>
      <c r="B4" s="3" t="inlineStr">
        <is>
          <t>Model</t>
        </is>
      </c>
      <c r="C4" s="3" t="inlineStr">
        <is>
          <t>Test images</t>
        </is>
      </c>
      <c r="D4" s="3" t="inlineStr">
        <is>
          <t>Test labels</t>
        </is>
      </c>
      <c r="E4" s="3" t="inlineStr">
        <is>
          <t>Box P</t>
        </is>
      </c>
      <c r="F4" s="3" t="inlineStr">
        <is>
          <t>Box R</t>
        </is>
      </c>
      <c r="G4" s="3" t="inlineStr">
        <is>
          <t>Box F1</t>
        </is>
      </c>
      <c r="H4" s="3" t="inlineStr">
        <is>
          <t>Box mAP50</t>
        </is>
      </c>
      <c r="I4" s="3" t="inlineStr">
        <is>
          <t>Box mAP50-95</t>
        </is>
      </c>
      <c r="J4" s="3" t="inlineStr">
        <is>
          <t>Mask P</t>
        </is>
      </c>
      <c r="K4" s="3" t="inlineStr">
        <is>
          <t>Mask R</t>
        </is>
      </c>
      <c r="L4" s="3" t="inlineStr">
        <is>
          <t>Mask F1</t>
        </is>
      </c>
      <c r="M4" s="3" t="inlineStr">
        <is>
          <t>Mask mAP50</t>
        </is>
      </c>
      <c r="N4" s="3" t="inlineStr">
        <is>
          <t>Mask mAP50-95</t>
        </is>
      </c>
      <c r="O4" s="3" t="inlineStr">
        <is>
          <t>Latency (ms/img)</t>
        </is>
      </c>
    </row>
    <row r="5">
      <c r="A5" s="4" t="inlineStr">
        <is>
          <t>PCB</t>
        </is>
      </c>
      <c r="B5" s="5" t="inlineStr">
        <is>
          <t>pcb_v2_yolo11s.pt</t>
        </is>
      </c>
      <c r="C5" s="6" t="n">
        <v>980</v>
      </c>
      <c r="D5" s="6" t="n">
        <v>5082</v>
      </c>
      <c r="E5" s="7" t="n">
        <v>0.9114</v>
      </c>
      <c r="F5" s="7" t="n">
        <v>0.8675</v>
      </c>
      <c r="G5" s="8">
        <f>'PCB'!G13</f>
        <v/>
      </c>
      <c r="H5" s="7" t="n">
        <v>0.8858</v>
      </c>
      <c r="I5" s="7" t="n">
        <v>0.4741</v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9" t="n">
        <v>8</v>
      </c>
    </row>
    <row r="6">
      <c r="A6" s="4" t="inlineStr">
        <is>
          <t>Metal Surface</t>
        </is>
      </c>
      <c r="B6" s="5" t="inlineStr">
        <is>
          <t>msdd_v1_yolo11s_seg.pt</t>
        </is>
      </c>
      <c r="C6" s="6" t="n">
        <v>150</v>
      </c>
      <c r="D6" s="6" t="n">
        <v>384</v>
      </c>
      <c r="E6" s="7" t="n">
        <v>0.6415999999999999</v>
      </c>
      <c r="F6" s="7" t="n">
        <v>0.5774</v>
      </c>
      <c r="G6" s="8">
        <f>'Metal Surface'!G11</f>
        <v/>
      </c>
      <c r="H6" s="7" t="n">
        <v>0.5765</v>
      </c>
      <c r="I6" s="7" t="n">
        <v>0.3823</v>
      </c>
      <c r="J6" s="7" t="n">
        <v>0.7119</v>
      </c>
      <c r="K6" s="7" t="n">
        <v>0.5363</v>
      </c>
      <c r="L6" s="8">
        <f>'Metal Surface'!L11</f>
        <v/>
      </c>
      <c r="M6" s="7" t="n">
        <v>0.5636</v>
      </c>
      <c r="N6" s="7" t="n">
        <v>0.3405</v>
      </c>
      <c r="O6" s="9" t="n">
        <v>7.4</v>
      </c>
    </row>
    <row r="7">
      <c r="A7" s="4" t="inlineStr">
        <is>
          <t>Mobile Surface</t>
        </is>
      </c>
      <c r="B7" s="5" t="inlineStr">
        <is>
          <t>mobile_surface_yolo11s_seg.pt</t>
        </is>
      </c>
      <c r="C7" s="6" t="n">
        <v>122</v>
      </c>
      <c r="D7" s="6" t="n">
        <v>335</v>
      </c>
      <c r="E7" s="7" t="n">
        <v>0.9857</v>
      </c>
      <c r="F7" s="7" t="n">
        <v>0.9732</v>
      </c>
      <c r="G7" s="8">
        <f>'Mobile Surface'!G8</f>
        <v/>
      </c>
      <c r="H7" s="7" t="n">
        <v>0.9838</v>
      </c>
      <c r="I7" s="7" t="n">
        <v>0.8169999999999999</v>
      </c>
      <c r="J7" s="7" t="n">
        <v>0.8262</v>
      </c>
      <c r="K7" s="7" t="n">
        <v>0.8185</v>
      </c>
      <c r="L7" s="8">
        <f>'Mobile Surface'!L8</f>
        <v/>
      </c>
      <c r="M7" s="7" t="n">
        <v>0.8007</v>
      </c>
      <c r="N7" s="7" t="n">
        <v>0.5065</v>
      </c>
      <c r="O7" s="9" t="n">
        <v>37.3</v>
      </c>
    </row>
    <row r="9">
      <c r="A9" s="10" t="inlineStr">
        <is>
          <t>How to read</t>
        </is>
      </c>
    </row>
    <row r="10">
      <c r="A10" t="inlineStr">
        <is>
          <t>• Blue numbers come from the validation run; F1 is linked to the per-domain sheet (mean of the per-class F1, as in results/model_benchmark.csv).</t>
        </is>
      </c>
    </row>
    <row r="11">
      <c r="A11" t="inlineStr">
        <is>
          <t>• pcb is a detection model (boxes only); msdd and mobile are segmentation models (box and mask metrics).</t>
        </is>
      </c>
    </row>
    <row r="12">
      <c r="A12" t="inlineStr">
        <is>
          <t>• The test sets are the datasets' own held-out splits (pcb 980, msdd 150, mobile 122 images). Latency includes image reading.</t>
        </is>
      </c>
    </row>
    <row r="13">
      <c r="A13" s="11" t="inlineStr">
        <is>
          <t>Source: ultralytics val on the held-out test splits; latency from results/model_benchmark.json. Regenerate with tools/make_result_workbooks.py.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18.6" customHeight="1">
      <c r="A1" s="1" t="inlineStr">
        <is>
          <t>PCB defect detection — performance by class (test set)</t>
        </is>
      </c>
    </row>
    <row r="2">
      <c r="A2" s="2" t="inlineStr">
        <is>
          <t>Model: pcb_v2_yolo11s.pt · Test: 980 images, 5,082 labeled defects · IoU 0.5 · P/R at the best-F1 confidence</t>
        </is>
      </c>
    </row>
    <row r="4" ht="31.95" customHeight="1">
      <c r="A4" s="3" t="inlineStr">
        <is>
          <t>Class</t>
        </is>
      </c>
      <c r="B4" s="3" t="inlineStr">
        <is>
          <t>Test labels</t>
        </is>
      </c>
      <c r="C4" s="3" t="inlineStr">
        <is>
          <t>Images with class</t>
        </is>
      </c>
      <c r="D4" s="3" t="inlineStr">
        <is>
          <t>Perfect images</t>
        </is>
      </c>
      <c r="E4" s="3" t="inlineStr">
        <is>
          <t>Box P</t>
        </is>
      </c>
      <c r="F4" s="3" t="inlineStr">
        <is>
          <t>Box R</t>
        </is>
      </c>
      <c r="G4" s="3" t="inlineStr">
        <is>
          <t>Box F1</t>
        </is>
      </c>
      <c r="H4" s="3" t="inlineStr">
        <is>
          <t>Box AP50</t>
        </is>
      </c>
      <c r="I4" s="3" t="inlineStr">
        <is>
          <t>Box AP50-95</t>
        </is>
      </c>
    </row>
    <row r="5">
      <c r="A5" s="4" t="inlineStr">
        <is>
          <t>False copper</t>
        </is>
      </c>
      <c r="B5" s="6" t="n">
        <v>477</v>
      </c>
      <c r="C5" s="6" t="n">
        <v>107</v>
      </c>
      <c r="D5" s="5" t="inlineStr">
        <is>
          <t>65.4%</t>
        </is>
      </c>
      <c r="E5" s="7" t="n">
        <v>0.9935</v>
      </c>
      <c r="F5" s="7" t="n">
        <v>0.9579</v>
      </c>
      <c r="G5" s="8">
        <f>IF(E5+F5=0,0,2*E5*F5/(E5+F5))</f>
        <v/>
      </c>
      <c r="H5" s="7" t="n">
        <v>0.9809</v>
      </c>
      <c r="I5" s="7" t="n">
        <v>0.5803</v>
      </c>
    </row>
    <row r="6">
      <c r="A6" s="4" t="inlineStr">
        <is>
          <t>Missing hole</t>
        </is>
      </c>
      <c r="B6" s="6" t="n">
        <v>467</v>
      </c>
      <c r="C6" s="6" t="n">
        <v>109</v>
      </c>
      <c r="D6" s="5" t="inlineStr">
        <is>
          <t>46.8%</t>
        </is>
      </c>
      <c r="E6" s="7" t="n">
        <v>0.8136</v>
      </c>
      <c r="F6" s="7" t="n">
        <v>0.8502999999999999</v>
      </c>
      <c r="G6" s="8">
        <f>IF(E6+F6=0,0,2*E6*F6/(E6+F6))</f>
        <v/>
      </c>
      <c r="H6" s="7" t="n">
        <v>0.7929</v>
      </c>
      <c r="I6" s="7" t="n">
        <v>0.3546</v>
      </c>
    </row>
    <row r="7">
      <c r="A7" s="4" t="inlineStr">
        <is>
          <t>Mouse bite</t>
        </is>
      </c>
      <c r="B7" s="6" t="n">
        <v>779</v>
      </c>
      <c r="C7" s="6" t="n">
        <v>177</v>
      </c>
      <c r="D7" s="5" t="inlineStr">
        <is>
          <t>46.9%</t>
        </is>
      </c>
      <c r="E7" s="7" t="n">
        <v>0.9723000000000001</v>
      </c>
      <c r="F7" s="7" t="n">
        <v>0.8895999999999999</v>
      </c>
      <c r="G7" s="8">
        <f>IF(E7+F7=0,0,2*E7*F7/(E7+F7))</f>
        <v/>
      </c>
      <c r="H7" s="7" t="n">
        <v>0.9198</v>
      </c>
      <c r="I7" s="7" t="n">
        <v>0.5074</v>
      </c>
    </row>
    <row r="8">
      <c r="A8" s="4" t="inlineStr">
        <is>
          <t>Open circuit</t>
        </is>
      </c>
      <c r="B8" s="6" t="n">
        <v>793</v>
      </c>
      <c r="C8" s="6" t="n">
        <v>217</v>
      </c>
      <c r="D8" s="5" t="inlineStr">
        <is>
          <t>40.1%</t>
        </is>
      </c>
      <c r="E8" s="7" t="n">
        <v>0.9397</v>
      </c>
      <c r="F8" s="7" t="n">
        <v>0.8348</v>
      </c>
      <c r="G8" s="8">
        <f>IF(E8+F8=0,0,2*E8*F8/(E8+F8))</f>
        <v/>
      </c>
      <c r="H8" s="7" t="n">
        <v>0.8931</v>
      </c>
      <c r="I8" s="7" t="n">
        <v>0.4739</v>
      </c>
    </row>
    <row r="9">
      <c r="A9" s="4" t="inlineStr">
        <is>
          <t>Pin hole</t>
        </is>
      </c>
      <c r="B9" s="6" t="n">
        <v>735</v>
      </c>
      <c r="C9" s="6" t="n">
        <v>208</v>
      </c>
      <c r="D9" s="5" t="inlineStr">
        <is>
          <t>55.8%</t>
        </is>
      </c>
      <c r="E9" s="7" t="n">
        <v>0.9099</v>
      </c>
      <c r="F9" s="7" t="n">
        <v>0.9156</v>
      </c>
      <c r="G9" s="8">
        <f>IF(E9+F9=0,0,2*E9*F9/(E9+F9))</f>
        <v/>
      </c>
      <c r="H9" s="7" t="n">
        <v>0.9077</v>
      </c>
      <c r="I9" s="7" t="n">
        <v>0.3956</v>
      </c>
    </row>
    <row r="10">
      <c r="A10" s="4" t="inlineStr">
        <is>
          <t>Scratch</t>
        </is>
      </c>
      <c r="B10" s="6" t="n">
        <v>545</v>
      </c>
      <c r="C10" s="6" t="n">
        <v>215</v>
      </c>
      <c r="D10" s="5" t="inlineStr">
        <is>
          <t>42.8%</t>
        </is>
      </c>
      <c r="E10" s="7" t="n">
        <v>0.8188</v>
      </c>
      <c r="F10" s="7" t="n">
        <v>0.8752</v>
      </c>
      <c r="G10" s="8">
        <f>IF(E10+F10=0,0,2*E10*F10/(E10+F10))</f>
        <v/>
      </c>
      <c r="H10" s="7" t="n">
        <v>0.9052</v>
      </c>
      <c r="I10" s="7" t="n">
        <v>0.6775</v>
      </c>
    </row>
    <row r="11">
      <c r="A11" s="4" t="inlineStr">
        <is>
          <t>Short circuit</t>
        </is>
      </c>
      <c r="B11" s="6" t="n">
        <v>666</v>
      </c>
      <c r="C11" s="6" t="n">
        <v>196</v>
      </c>
      <c r="D11" s="5" t="inlineStr">
        <is>
          <t>46.4%</t>
        </is>
      </c>
      <c r="E11" s="7" t="n">
        <v>0.869</v>
      </c>
      <c r="F11" s="7" t="n">
        <v>0.7643</v>
      </c>
      <c r="G11" s="8">
        <f>IF(E11+F11=0,0,2*E11*F11/(E11+F11))</f>
        <v/>
      </c>
      <c r="H11" s="7" t="n">
        <v>0.7969000000000001</v>
      </c>
      <c r="I11" s="7" t="n">
        <v>0.3395</v>
      </c>
    </row>
    <row r="12">
      <c r="A12" s="4" t="inlineStr">
        <is>
          <t>Spur</t>
        </is>
      </c>
      <c r="B12" s="6" t="n">
        <v>620</v>
      </c>
      <c r="C12" s="6" t="n">
        <v>171</v>
      </c>
      <c r="D12" s="5" t="inlineStr">
        <is>
          <t>48.5%</t>
        </is>
      </c>
      <c r="E12" s="7" t="n">
        <v>0.9742</v>
      </c>
      <c r="F12" s="7" t="n">
        <v>0.8521</v>
      </c>
      <c r="G12" s="8">
        <f>IF(E12+F12=0,0,2*E12*F12/(E12+F12))</f>
        <v/>
      </c>
      <c r="H12" s="7" t="n">
        <v>0.8903</v>
      </c>
      <c r="I12" s="7" t="n">
        <v>0.4641</v>
      </c>
    </row>
    <row r="13">
      <c r="A13" s="4" t="inlineStr">
        <is>
          <t>All classes</t>
        </is>
      </c>
      <c r="B13" s="12">
        <f>SUM(B5:B12)</f>
        <v/>
      </c>
      <c r="C13" s="13" t="n">
        <v>980</v>
      </c>
      <c r="D13" s="14" t="n"/>
      <c r="E13" s="15" t="n">
        <v>0.9114</v>
      </c>
      <c r="F13" s="15" t="n">
        <v>0.8675</v>
      </c>
      <c r="G13" s="16">
        <f>AVERAGE(G5:G12)</f>
        <v/>
      </c>
      <c r="H13" s="15" t="n">
        <v>0.8858</v>
      </c>
      <c r="I13" s="15" t="n">
        <v>0.4741</v>
      </c>
    </row>
    <row r="15">
      <c r="A15" s="10" t="inlineStr">
        <is>
          <t>Latency (wall clock, per image)</t>
        </is>
      </c>
      <c r="B15" s="17" t="n">
        <v>8</v>
      </c>
    </row>
    <row r="16">
      <c r="A16" s="10" t="inlineStr">
        <is>
          <t>Model inference only</t>
        </is>
      </c>
      <c r="B16" s="17" t="n">
        <v>5.6</v>
      </c>
    </row>
    <row r="18">
      <c r="A18" s="10" t="inlineStr">
        <is>
          <t>How to read</t>
        </is>
      </c>
    </row>
    <row r="19">
      <c r="A19" t="inlineStr">
        <is>
          <t>• P / R / F1 are read at the confidence that maximises F1 for that class; AP50 uses IoU 0.5, AP50-95 averages IoU 0.5–0.95.</t>
        </is>
      </c>
    </row>
    <row r="20">
      <c r="A20" t="inlineStr">
        <is>
          <t>• "Perfect images" = share of test images with this class whose detections match the labels exactly (F1 = 1 at IoU 0.5, confidence ≥ 0.25); see results/&lt;domain&gt;/showcase/summary.csv.</t>
        </is>
      </c>
    </row>
    <row r="21">
      <c r="A21" t="inlineStr">
        <is>
          <t>• Class F1 is a formula from P and R; the F1 of the green "All classes" row is the mean of the class F1 values (same definition as results/model_benchmark.csv). Blue numbers come from the validation run.</t>
        </is>
      </c>
    </row>
    <row r="22">
      <c r="A22" t="inlineStr">
        <is>
          <t>• Box metrics measure where the defect is; mask metrics (segmentation models) also measure the outline of the region.</t>
        </is>
      </c>
    </row>
    <row r="23">
      <c r="A23" s="11" t="inlineStr">
        <is>
          <t>Source: ultralytics val on the held-out test split, model pcb_v2_yolo11s.pt. Regenerate with tools/make_result_workbooks.py.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18.6" customHeight="1">
      <c r="A1" s="1" t="inlineStr">
        <is>
          <t>Metal Surface defect segmentation — performance by class (test set)</t>
        </is>
      </c>
    </row>
    <row r="2">
      <c r="A2" s="2" t="inlineStr">
        <is>
          <t>Model: msdd_v1_yolo11s_seg.pt · Test: 150 images, 384 labeled defects · IoU 0.5 · P/R at the best-F1 confidence</t>
        </is>
      </c>
    </row>
    <row r="4" ht="31.95" customHeight="1">
      <c r="A4" s="3" t="inlineStr">
        <is>
          <t>Class</t>
        </is>
      </c>
      <c r="B4" s="3" t="inlineStr">
        <is>
          <t>Test labels</t>
        </is>
      </c>
      <c r="C4" s="3" t="inlineStr">
        <is>
          <t>Images with class</t>
        </is>
      </c>
      <c r="D4" s="3" t="inlineStr">
        <is>
          <t>Perfect images</t>
        </is>
      </c>
      <c r="E4" s="3" t="inlineStr">
        <is>
          <t>Box P</t>
        </is>
      </c>
      <c r="F4" s="3" t="inlineStr">
        <is>
          <t>Box R</t>
        </is>
      </c>
      <c r="G4" s="3" t="inlineStr">
        <is>
          <t>Box F1</t>
        </is>
      </c>
      <c r="H4" s="3" t="inlineStr">
        <is>
          <t>Box AP50</t>
        </is>
      </c>
      <c r="I4" s="3" t="inlineStr">
        <is>
          <t>Box AP50-95</t>
        </is>
      </c>
      <c r="J4" s="3" t="inlineStr">
        <is>
          <t>Mask P</t>
        </is>
      </c>
      <c r="K4" s="3" t="inlineStr">
        <is>
          <t>Mask R</t>
        </is>
      </c>
      <c r="L4" s="3" t="inlineStr">
        <is>
          <t>Mask F1</t>
        </is>
      </c>
      <c r="M4" s="3" t="inlineStr">
        <is>
          <t>Mask AP50</t>
        </is>
      </c>
      <c r="N4" s="3" t="inlineStr">
        <is>
          <t>Mask AP50-95</t>
        </is>
      </c>
    </row>
    <row r="5">
      <c r="A5" s="4" t="inlineStr">
        <is>
          <t>Dark Spot</t>
        </is>
      </c>
      <c r="B5" s="6" t="n">
        <v>77</v>
      </c>
      <c r="C5" s="6" t="n">
        <v>41</v>
      </c>
      <c r="D5" s="5" t="inlineStr">
        <is>
          <t>26.8%</t>
        </is>
      </c>
      <c r="E5" s="7" t="n">
        <v>0.7583</v>
      </c>
      <c r="F5" s="7" t="n">
        <v>0.7742</v>
      </c>
      <c r="G5" s="8">
        <f>IF(E5+F5=0,0,2*E5*F5/(E5+F5))</f>
        <v/>
      </c>
      <c r="H5" s="7" t="n">
        <v>0.7933</v>
      </c>
      <c r="I5" s="7" t="n">
        <v>0.4137</v>
      </c>
      <c r="J5" s="7" t="n">
        <v>0.7943</v>
      </c>
      <c r="K5" s="7" t="n">
        <v>0.7143</v>
      </c>
      <c r="L5" s="8">
        <f>IF(J5+K5=0,0,2*J5*K5/(J5+K5))</f>
        <v/>
      </c>
      <c r="M5" s="7" t="n">
        <v>0.7903</v>
      </c>
      <c r="N5" s="7" t="n">
        <v>0.3943</v>
      </c>
    </row>
    <row r="6">
      <c r="A6" s="4" t="inlineStr">
        <is>
          <t>Fold</t>
        </is>
      </c>
      <c r="B6" s="6" t="n">
        <v>38</v>
      </c>
      <c r="C6" s="6" t="n">
        <v>23</v>
      </c>
      <c r="D6" s="5" t="inlineStr">
        <is>
          <t>8.7%</t>
        </is>
      </c>
      <c r="E6" s="7" t="n">
        <v>0.4513</v>
      </c>
      <c r="F6" s="7" t="n">
        <v>0.3464</v>
      </c>
      <c r="G6" s="8">
        <f>IF(E6+F6=0,0,2*E6*F6/(E6+F6))</f>
        <v/>
      </c>
      <c r="H6" s="7" t="n">
        <v>0.3252</v>
      </c>
      <c r="I6" s="7" t="n">
        <v>0.2441</v>
      </c>
      <c r="J6" s="7" t="n">
        <v>0.5536</v>
      </c>
      <c r="K6" s="7" t="n">
        <v>0.3684</v>
      </c>
      <c r="L6" s="8">
        <f>IF(J6+K6=0,0,2*J6*K6/(J6+K6))</f>
        <v/>
      </c>
      <c r="M6" s="7" t="n">
        <v>0.3603</v>
      </c>
      <c r="N6" s="7" t="n">
        <v>0.2206</v>
      </c>
    </row>
    <row r="7">
      <c r="A7" s="4" t="inlineStr">
        <is>
          <t>Oxidation</t>
        </is>
      </c>
      <c r="B7" s="6" t="n">
        <v>48</v>
      </c>
      <c r="C7" s="6" t="n">
        <v>12</v>
      </c>
      <c r="D7" s="5" t="inlineStr">
        <is>
          <t>0.0%</t>
        </is>
      </c>
      <c r="E7" s="7" t="n">
        <v>0.5269</v>
      </c>
      <c r="F7" s="7" t="n">
        <v>0.3714</v>
      </c>
      <c r="G7" s="8">
        <f>IF(E7+F7=0,0,2*E7*F7/(E7+F7))</f>
        <v/>
      </c>
      <c r="H7" s="7" t="n">
        <v>0.3921</v>
      </c>
      <c r="I7" s="7" t="n">
        <v>0.2015</v>
      </c>
      <c r="J7" s="7" t="n">
        <v>0.6685</v>
      </c>
      <c r="K7" s="7" t="n">
        <v>0.3333</v>
      </c>
      <c r="L7" s="8">
        <f>IF(J7+K7=0,0,2*J7*K7/(J7+K7))</f>
        <v/>
      </c>
      <c r="M7" s="7" t="n">
        <v>0.4147</v>
      </c>
      <c r="N7" s="7" t="n">
        <v>0.1448</v>
      </c>
    </row>
    <row r="8">
      <c r="A8" s="4" t="inlineStr">
        <is>
          <t>Porosity</t>
        </is>
      </c>
      <c r="B8" s="6" t="n">
        <v>80</v>
      </c>
      <c r="C8" s="6" t="n">
        <v>46</v>
      </c>
      <c r="D8" s="5" t="inlineStr">
        <is>
          <t>39.1%</t>
        </is>
      </c>
      <c r="E8" s="7" t="n">
        <v>0.725</v>
      </c>
      <c r="F8" s="7" t="n">
        <v>0.55</v>
      </c>
      <c r="G8" s="8">
        <f>IF(E8+F8=0,0,2*E8*F8/(E8+F8))</f>
        <v/>
      </c>
      <c r="H8" s="7" t="n">
        <v>0.5682</v>
      </c>
      <c r="I8" s="7" t="n">
        <v>0.4821</v>
      </c>
      <c r="J8" s="7" t="n">
        <v>0.8299</v>
      </c>
      <c r="K8" s="7" t="n">
        <v>0.525</v>
      </c>
      <c r="L8" s="8">
        <f>IF(J8+K8=0,0,2*J8*K8/(J8+K8))</f>
        <v/>
      </c>
      <c r="M8" s="7" t="n">
        <v>0.5417999999999999</v>
      </c>
      <c r="N8" s="7" t="n">
        <v>0.4283</v>
      </c>
    </row>
    <row r="9">
      <c r="A9" s="4" t="inlineStr">
        <is>
          <t>Scratch</t>
        </is>
      </c>
      <c r="B9" s="6" t="n">
        <v>116</v>
      </c>
      <c r="C9" s="6" t="n">
        <v>47</v>
      </c>
      <c r="D9" s="5" t="inlineStr">
        <is>
          <t>19.1%</t>
        </is>
      </c>
      <c r="E9" s="7" t="n">
        <v>0.439</v>
      </c>
      <c r="F9" s="7" t="n">
        <v>0.4224</v>
      </c>
      <c r="G9" s="8">
        <f>IF(E9+F9=0,0,2*E9*F9/(E9+F9))</f>
        <v/>
      </c>
      <c r="H9" s="7" t="n">
        <v>0.3852</v>
      </c>
      <c r="I9" s="7" t="n">
        <v>0.2033</v>
      </c>
      <c r="J9" s="7" t="n">
        <v>0.4646</v>
      </c>
      <c r="K9" s="7" t="n">
        <v>0.2768</v>
      </c>
      <c r="L9" s="8">
        <f>IF(J9+K9=0,0,2*J9*K9/(J9+K9))</f>
        <v/>
      </c>
      <c r="M9" s="7" t="n">
        <v>0.2798</v>
      </c>
      <c r="N9" s="7" t="n">
        <v>0.1241</v>
      </c>
    </row>
    <row r="10">
      <c r="A10" s="4" t="inlineStr">
        <is>
          <t>Stain</t>
        </is>
      </c>
      <c r="B10" s="6" t="n">
        <v>25</v>
      </c>
      <c r="C10" s="6" t="n">
        <v>20</v>
      </c>
      <c r="D10" s="5" t="inlineStr">
        <is>
          <t>45.0%</t>
        </is>
      </c>
      <c r="E10" s="7" t="n">
        <v>0.9494</v>
      </c>
      <c r="F10" s="7" t="n">
        <v>1</v>
      </c>
      <c r="G10" s="8">
        <f>IF(E10+F10=0,0,2*E10*F10/(E10+F10))</f>
        <v/>
      </c>
      <c r="H10" s="7" t="n">
        <v>0.995</v>
      </c>
      <c r="I10" s="7" t="n">
        <v>0.7492</v>
      </c>
      <c r="J10" s="7" t="n">
        <v>0.9605</v>
      </c>
      <c r="K10" s="7" t="n">
        <v>1</v>
      </c>
      <c r="L10" s="8">
        <f>IF(J10+K10=0,0,2*J10*K10/(J10+K10))</f>
        <v/>
      </c>
      <c r="M10" s="7" t="n">
        <v>0.995</v>
      </c>
      <c r="N10" s="7" t="n">
        <v>0.731</v>
      </c>
    </row>
    <row r="11">
      <c r="A11" s="4" t="inlineStr">
        <is>
          <t>All classes</t>
        </is>
      </c>
      <c r="B11" s="12">
        <f>SUM(B5:B10)</f>
        <v/>
      </c>
      <c r="C11" s="13" t="n">
        <v>150</v>
      </c>
      <c r="D11" s="14" t="n"/>
      <c r="E11" s="15" t="n">
        <v>0.6415999999999999</v>
      </c>
      <c r="F11" s="15" t="n">
        <v>0.5774</v>
      </c>
      <c r="G11" s="16">
        <f>AVERAGE(G5:G10)</f>
        <v/>
      </c>
      <c r="H11" s="15" t="n">
        <v>0.5765</v>
      </c>
      <c r="I11" s="15" t="n">
        <v>0.3823</v>
      </c>
      <c r="J11" s="15" t="n">
        <v>0.7119</v>
      </c>
      <c r="K11" s="15" t="n">
        <v>0.5363</v>
      </c>
      <c r="L11" s="16">
        <f>AVERAGE(L5:L10)</f>
        <v/>
      </c>
      <c r="M11" s="15" t="n">
        <v>0.5636</v>
      </c>
      <c r="N11" s="15" t="n">
        <v>0.3405</v>
      </c>
    </row>
    <row r="13">
      <c r="A13" s="10" t="inlineStr">
        <is>
          <t>Latency (wall clock, per image)</t>
        </is>
      </c>
      <c r="B13" s="17" t="n">
        <v>7.4</v>
      </c>
    </row>
    <row r="14">
      <c r="A14" s="10" t="inlineStr">
        <is>
          <t>Model inference only</t>
        </is>
      </c>
      <c r="B14" s="17" t="n">
        <v>5.5</v>
      </c>
    </row>
    <row r="16">
      <c r="A16" s="10" t="inlineStr">
        <is>
          <t>How to read</t>
        </is>
      </c>
    </row>
    <row r="17">
      <c r="A17" t="inlineStr">
        <is>
          <t>• P / R / F1 are read at the confidence that maximises F1 for that class; AP50 uses IoU 0.5, AP50-95 averages IoU 0.5–0.95.</t>
        </is>
      </c>
    </row>
    <row r="18">
      <c r="A18" t="inlineStr">
        <is>
          <t>• "Perfect images" = share of test images with this class whose detections match the labels exactly (F1 = 1 at IoU 0.5, confidence ≥ 0.25); see results/&lt;domain&gt;/showcase/summary.csv.</t>
        </is>
      </c>
    </row>
    <row r="19">
      <c r="A19" t="inlineStr">
        <is>
          <t>• Class F1 is a formula from P and R; the F1 of the green "All classes" row is the mean of the class F1 values (same definition as results/model_benchmark.csv). Blue numbers come from the validation run.</t>
        </is>
      </c>
    </row>
    <row r="20">
      <c r="A20" t="inlineStr">
        <is>
          <t>• Box metrics measure where the defect is; mask metrics (segmentation models) also measure the outline of the region.</t>
        </is>
      </c>
    </row>
    <row r="21">
      <c r="A21" s="11" t="inlineStr">
        <is>
          <t>Source: ultralytics val on the held-out test split, model msdd_v1_yolo11s_seg.pt. Regenerate with tools/make_result_workbooks.py.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18.6" customHeight="1">
      <c r="A1" s="1" t="inlineStr">
        <is>
          <t>Mobile Surface defect segmentation — performance by class (test set)</t>
        </is>
      </c>
    </row>
    <row r="2">
      <c r="A2" s="2" t="inlineStr">
        <is>
          <t>Model: mobile_surface_yolo11s_seg.pt · Test: 122 images, 335 labeled defects · IoU 0.5 · P/R at the best-F1 confidence</t>
        </is>
      </c>
    </row>
    <row r="4" ht="31.95" customHeight="1">
      <c r="A4" s="3" t="inlineStr">
        <is>
          <t>Class</t>
        </is>
      </c>
      <c r="B4" s="3" t="inlineStr">
        <is>
          <t>Test labels</t>
        </is>
      </c>
      <c r="C4" s="3" t="inlineStr">
        <is>
          <t>Images with class</t>
        </is>
      </c>
      <c r="D4" s="3" t="inlineStr">
        <is>
          <t>Perfect images</t>
        </is>
      </c>
      <c r="E4" s="3" t="inlineStr">
        <is>
          <t>Box P</t>
        </is>
      </c>
      <c r="F4" s="3" t="inlineStr">
        <is>
          <t>Box R</t>
        </is>
      </c>
      <c r="G4" s="3" t="inlineStr">
        <is>
          <t>Box F1</t>
        </is>
      </c>
      <c r="H4" s="3" t="inlineStr">
        <is>
          <t>Box AP50</t>
        </is>
      </c>
      <c r="I4" s="3" t="inlineStr">
        <is>
          <t>Box AP50-95</t>
        </is>
      </c>
      <c r="J4" s="3" t="inlineStr">
        <is>
          <t>Mask P</t>
        </is>
      </c>
      <c r="K4" s="3" t="inlineStr">
        <is>
          <t>Mask R</t>
        </is>
      </c>
      <c r="L4" s="3" t="inlineStr">
        <is>
          <t>Mask F1</t>
        </is>
      </c>
      <c r="M4" s="3" t="inlineStr">
        <is>
          <t>Mask AP50</t>
        </is>
      </c>
      <c r="N4" s="3" t="inlineStr">
        <is>
          <t>Mask AP50-95</t>
        </is>
      </c>
    </row>
    <row r="5">
      <c r="A5" s="4" t="inlineStr">
        <is>
          <t>Oil</t>
        </is>
      </c>
      <c r="B5" s="6" t="n">
        <v>51</v>
      </c>
      <c r="C5" s="6" t="n">
        <v>37</v>
      </c>
      <c r="D5" s="5" t="inlineStr">
        <is>
          <t>97.3%</t>
        </is>
      </c>
      <c r="E5" s="7" t="n">
        <v>0.9882</v>
      </c>
      <c r="F5" s="7" t="n">
        <v>0.9804</v>
      </c>
      <c r="G5" s="8">
        <f>IF(E5+F5=0,0,2*E5*F5/(E5+F5))</f>
        <v/>
      </c>
      <c r="H5" s="7" t="n">
        <v>0.9943</v>
      </c>
      <c r="I5" s="7" t="n">
        <v>0.9246</v>
      </c>
      <c r="J5" s="7" t="n">
        <v>0.9876</v>
      </c>
      <c r="K5" s="7" t="n">
        <v>0.9804</v>
      </c>
      <c r="L5" s="8">
        <f>IF(J5+K5=0,0,2*J5*K5/(J5+K5))</f>
        <v/>
      </c>
      <c r="M5" s="7" t="n">
        <v>0.9943</v>
      </c>
      <c r="N5" s="7" t="n">
        <v>0.7939000000000001</v>
      </c>
    </row>
    <row r="6">
      <c r="A6" s="4" t="inlineStr">
        <is>
          <t>Scratch</t>
        </is>
      </c>
      <c r="B6" s="6" t="n">
        <v>155</v>
      </c>
      <c r="C6" s="6" t="n">
        <v>40</v>
      </c>
      <c r="D6" s="5" t="inlineStr">
        <is>
          <t>92.5%</t>
        </is>
      </c>
      <c r="E6" s="7" t="n">
        <v>1</v>
      </c>
      <c r="F6" s="7" t="n">
        <v>0.9711</v>
      </c>
      <c r="G6" s="8">
        <f>IF(E6+F6=0,0,2*E6*F6/(E6+F6))</f>
        <v/>
      </c>
      <c r="H6" s="7" t="n">
        <v>0.985</v>
      </c>
      <c r="I6" s="7" t="n">
        <v>0.9043</v>
      </c>
      <c r="J6" s="7" t="n">
        <v>0.927</v>
      </c>
      <c r="K6" s="7" t="n">
        <v>0.9014</v>
      </c>
      <c r="L6" s="8">
        <f>IF(J6+K6=0,0,2*J6*K6/(J6+K6))</f>
        <v/>
      </c>
      <c r="M6" s="7" t="n">
        <v>0.944</v>
      </c>
      <c r="N6" s="7" t="n">
        <v>0.5555</v>
      </c>
    </row>
    <row r="7">
      <c r="A7" s="4" t="inlineStr">
        <is>
          <t>Stain</t>
        </is>
      </c>
      <c r="B7" s="6" t="n">
        <v>129</v>
      </c>
      <c r="C7" s="6" t="n">
        <v>43</v>
      </c>
      <c r="D7" s="5" t="inlineStr">
        <is>
          <t>74.4%</t>
        </is>
      </c>
      <c r="E7" s="7" t="n">
        <v>0.969</v>
      </c>
      <c r="F7" s="7" t="n">
        <v>0.9681999999999999</v>
      </c>
      <c r="G7" s="8">
        <f>IF(E7+F7=0,0,2*E7*F7/(E7+F7))</f>
        <v/>
      </c>
      <c r="H7" s="7" t="n">
        <v>0.9722</v>
      </c>
      <c r="I7" s="7" t="n">
        <v>0.6222</v>
      </c>
      <c r="J7" s="7" t="n">
        <v>0.5641</v>
      </c>
      <c r="K7" s="7" t="n">
        <v>0.5736</v>
      </c>
      <c r="L7" s="8">
        <f>IF(J7+K7=0,0,2*J7*K7/(J7+K7))</f>
        <v/>
      </c>
      <c r="M7" s="7" t="n">
        <v>0.464</v>
      </c>
      <c r="N7" s="7" t="n">
        <v>0.1701</v>
      </c>
    </row>
    <row r="8">
      <c r="A8" s="4" t="inlineStr">
        <is>
          <t>All classes</t>
        </is>
      </c>
      <c r="B8" s="12">
        <f>SUM(B5:B7)</f>
        <v/>
      </c>
      <c r="C8" s="13" t="n">
        <v>122</v>
      </c>
      <c r="D8" s="14" t="n"/>
      <c r="E8" s="15" t="n">
        <v>0.9857</v>
      </c>
      <c r="F8" s="15" t="n">
        <v>0.9732</v>
      </c>
      <c r="G8" s="16">
        <f>AVERAGE(G5:G7)</f>
        <v/>
      </c>
      <c r="H8" s="15" t="n">
        <v>0.9838</v>
      </c>
      <c r="I8" s="15" t="n">
        <v>0.8169999999999999</v>
      </c>
      <c r="J8" s="15" t="n">
        <v>0.8262</v>
      </c>
      <c r="K8" s="15" t="n">
        <v>0.8185</v>
      </c>
      <c r="L8" s="16">
        <f>AVERAGE(L5:L7)</f>
        <v/>
      </c>
      <c r="M8" s="15" t="n">
        <v>0.8007</v>
      </c>
      <c r="N8" s="15" t="n">
        <v>0.5065</v>
      </c>
    </row>
    <row r="10">
      <c r="A10" s="10" t="inlineStr">
        <is>
          <t>Latency (wall clock, per image)</t>
        </is>
      </c>
      <c r="B10" s="17" t="n">
        <v>37.3</v>
      </c>
    </row>
    <row r="11">
      <c r="A11" s="10" t="inlineStr">
        <is>
          <t>Model inference only</t>
        </is>
      </c>
      <c r="B11" s="17" t="n">
        <v>4</v>
      </c>
    </row>
    <row r="13">
      <c r="A13" s="10" t="inlineStr">
        <is>
          <t>How to read</t>
        </is>
      </c>
    </row>
    <row r="14">
      <c r="A14" t="inlineStr">
        <is>
          <t>• P / R / F1 are read at the confidence that maximises F1 for that class; AP50 uses IoU 0.5, AP50-95 averages IoU 0.5–0.95.</t>
        </is>
      </c>
    </row>
    <row r="15">
      <c r="A15" t="inlineStr">
        <is>
          <t>• "Perfect images" = share of test images with this class whose detections match the labels exactly (F1 = 1 at IoU 0.5, confidence ≥ 0.25); see results/&lt;domain&gt;/showcase/summary.csv.</t>
        </is>
      </c>
    </row>
    <row r="16">
      <c r="A16" t="inlineStr">
        <is>
          <t>• Class F1 is a formula from P and R; the F1 of the green "All classes" row is the mean of the class F1 values (same definition as results/model_benchmark.csv). Blue numbers come from the validation run.</t>
        </is>
      </c>
    </row>
    <row r="17">
      <c r="A17" t="inlineStr">
        <is>
          <t>• Box metrics measure where the defect is; mask metrics (segmentation models) also measure the outline of the region.</t>
        </is>
      </c>
    </row>
    <row r="18">
      <c r="A18" s="11" t="inlineStr">
        <is>
          <t>Source: ultralytics val on the held-out test split, model mobile_surface_yolo11s_seg.pt. Regenerate with tools/make_result_workbooks.py.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2026-10-21T04:17:41Z</dcterms:created>
  <dcterms:modified xmlns:dcterms="http://purl.org/dc/terms/" xmlns:xsi="http://www.w3.org/2001/XMLSchema-instance" xsi:type="dcterms:W3CDTF">2026-10-21T04:19:51Z</dcterms:modified>
</cp:coreProperties>
</file>