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ltra\Downloads\defect_agent_package\defect_agent_package\results\"/>
    </mc:Choice>
  </mc:AlternateContent>
  <xr:revisionPtr revIDLastSave="0" documentId="13_ncr:1_{AC46CD94-B23E-4EBE-891E-641F936EC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B" sheetId="1" r:id="rId1"/>
    <sheet name="Metal Surfa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2" l="1"/>
  <c r="G14" i="2" s="1"/>
  <c r="F12" i="2"/>
  <c r="F14" i="2" s="1"/>
  <c r="E12" i="2"/>
  <c r="E14" i="2" s="1"/>
  <c r="D12" i="2"/>
  <c r="D13" i="2" s="1"/>
  <c r="C12" i="2"/>
  <c r="C14" i="2" s="1"/>
  <c r="B12" i="2"/>
  <c r="B14" i="2" s="1"/>
  <c r="I15" i="1"/>
  <c r="H15" i="1"/>
  <c r="G15" i="1"/>
  <c r="F15" i="1"/>
  <c r="E15" i="1"/>
  <c r="I14" i="1"/>
  <c r="I16" i="1" s="1"/>
  <c r="H14" i="1"/>
  <c r="H16" i="1" s="1"/>
  <c r="G14" i="1"/>
  <c r="G16" i="1" s="1"/>
  <c r="F14" i="1"/>
  <c r="F16" i="1" s="1"/>
  <c r="E14" i="1"/>
  <c r="E16" i="1" s="1"/>
  <c r="D14" i="1"/>
  <c r="D16" i="1" s="1"/>
  <c r="C14" i="1"/>
  <c r="C16" i="1" s="1"/>
  <c r="B14" i="1"/>
  <c r="B18" i="1" s="1"/>
  <c r="F13" i="2" l="1"/>
  <c r="C13" i="2"/>
  <c r="E13" i="2"/>
  <c r="C15" i="1"/>
  <c r="D14" i="2"/>
  <c r="D15" i="1"/>
  <c r="B19" i="1"/>
  <c r="B20" i="1"/>
  <c r="B16" i="1"/>
  <c r="B13" i="2"/>
  <c r="B16" i="2"/>
  <c r="G13" i="2"/>
  <c r="B15" i="1"/>
  <c r="B18" i="2" l="1"/>
  <c r="B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note</author>
  </authors>
  <commentList>
    <comment ref="J4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Inflated: Ultralytics counts detections down to a very low confidence when it draws this plot. The agent only uses detections at confidence 0.25 or higher, so real false alarms are far fewer.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note</author>
  </authors>
  <commentList>
    <comment ref="H4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Inflated: Ultralytics counts detections down to a very low confidence when it draws this plot. The agent only uses detections at confidence 0.25 or higher, so real false alarms are far fewer.</t>
        </r>
      </text>
    </comment>
  </commentList>
</comments>
</file>

<file path=xl/sharedStrings.xml><?xml version="1.0" encoding="utf-8"?>
<sst xmlns="http://schemas.openxmlformats.org/spreadsheetml/2006/main" count="64" uniqueCount="34">
  <si>
    <t>PCB defect detection — confusion matrix (test set)</t>
  </si>
  <si>
    <t>Model: pcb_v2_yolo11s.pt (YOLO11s, detection) · Test: 980 images, 5,082 labeled defects</t>
  </si>
  <si>
    <t>Predicted \ True</t>
  </si>
  <si>
    <t>False copper</t>
  </si>
  <si>
    <t>Missing hole</t>
  </si>
  <si>
    <t>Mouse bite</t>
  </si>
  <si>
    <t>Open circuit</t>
  </si>
  <si>
    <t>Pin hole</t>
  </si>
  <si>
    <t>Scratch</t>
  </si>
  <si>
    <t>Short circuit</t>
  </si>
  <si>
    <t>Spur</t>
  </si>
  <si>
    <t>Background
(false positive)</t>
  </si>
  <si>
    <t>Background (missed)</t>
  </si>
  <si>
    <t>True total</t>
  </si>
  <si>
    <t>Recall (found as the right type)</t>
  </si>
  <si>
    <t>Missed rate</t>
  </si>
  <si>
    <t>All defects (true total)</t>
  </si>
  <si>
    <t>Overall recall</t>
  </si>
  <si>
    <t>Overall missed rate</t>
  </si>
  <si>
    <t>How to read</t>
  </si>
  <si>
    <t>• Green diagonal = defects found and named correctly. Off-diagonal = found but named as another type.</t>
  </si>
  <si>
    <t>• Orange row "Background (missed)" = real defects the model did not find.</t>
  </si>
  <si>
    <t>• Grey column "Background (false positive)" = detections where there is no labeled defect. This column is inflated because the plot counts very low-confidence detections; the agent uses 0.25+.</t>
  </si>
  <si>
    <t>• Recall here is slightly higher than at the 0.25 operating threshold for the same reason.</t>
  </si>
  <si>
    <t>• Blue numbers are values transcribed from the plot; black cells are formulas.</t>
  </si>
  <si>
    <t>Source: Counts transcribed from the Ultralytics validation plot on the held-out test set: results/pcb/test_eval_v2/confusion_matrix.png. Rows = predicted class, columns = true class.</t>
  </si>
  <si>
    <t>Metal surface defect segmentation — confusion matrix (test set)</t>
  </si>
  <si>
    <t>Model: msdd_v1_yolo11s_seg.pt (YOLO11s-seg) · Test: 150 images (125 defective + 25 normal), 384 labeled defects</t>
  </si>
  <si>
    <t>Dark spot</t>
  </si>
  <si>
    <t>Fold</t>
  </si>
  <si>
    <t>Oxidation</t>
  </si>
  <si>
    <t>Porosity</t>
  </si>
  <si>
    <t>Stain</t>
  </si>
  <si>
    <t>Source: Counts transcribed from the Ultralytics validation plot on the held-out test set: results/msdd/test_eval_v1/confusion_matrix.png. Rows = predicted class, columns = true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</si>
</sst>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%;\-0.0%;&quot;-&quot;"/>
  </numFmts>
  <fonts count="7" x14ac:knownFonts="1">
    <font>
      <sz val="11"/>
      <color theme="1"/>
      <name val="맑은 고딕"/>
      <family val="2"/>
      <scheme val="minor"/>
    </font>
    <font>
      <b/>
      <sz val="14"/>
      <name val="Arial"/>
    </font>
    <font>
      <i/>
      <sz val="11"/>
      <color rgb="FF555555"/>
      <name val="Arial"/>
    </font>
    <font>
      <b/>
      <sz val="11"/>
      <name val="Arial"/>
    </font>
    <font>
      <sz val="11"/>
      <color rgb="FF0000FF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E3EA"/>
      </patternFill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6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30" customWidth="1"/>
    <col min="2" max="10" width="14" customWidth="1"/>
  </cols>
  <sheetData>
    <row r="1" spans="1:10" ht="18.600000000000001" x14ac:dyDescent="0.4">
      <c r="A1" s="1" t="s">
        <v>0</v>
      </c>
    </row>
    <row r="2" spans="1:10" x14ac:dyDescent="0.4">
      <c r="A2" s="2" t="s">
        <v>1</v>
      </c>
    </row>
    <row r="4" spans="1:10" ht="31.95" customHeight="1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4">
      <c r="A5" s="4" t="s">
        <v>3</v>
      </c>
      <c r="B5" s="5">
        <v>461</v>
      </c>
      <c r="C5" s="6">
        <v>0</v>
      </c>
      <c r="D5" s="6">
        <v>0</v>
      </c>
      <c r="E5" s="6">
        <v>0</v>
      </c>
      <c r="F5" s="6">
        <v>0</v>
      </c>
      <c r="G5" s="6">
        <v>1</v>
      </c>
      <c r="H5" s="6">
        <v>0</v>
      </c>
      <c r="I5" s="6">
        <v>7</v>
      </c>
      <c r="J5" s="7">
        <v>684</v>
      </c>
    </row>
    <row r="6" spans="1:10" x14ac:dyDescent="0.4">
      <c r="A6" s="4" t="s">
        <v>4</v>
      </c>
      <c r="B6" s="6">
        <v>0</v>
      </c>
      <c r="C6" s="5">
        <v>431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7">
        <v>790</v>
      </c>
    </row>
    <row r="7" spans="1:10" x14ac:dyDescent="0.4">
      <c r="A7" s="4" t="s">
        <v>5</v>
      </c>
      <c r="B7" s="6">
        <v>0</v>
      </c>
      <c r="C7" s="6">
        <v>1</v>
      </c>
      <c r="D7" s="5">
        <v>717</v>
      </c>
      <c r="E7" s="6">
        <v>26</v>
      </c>
      <c r="F7" s="6">
        <v>0</v>
      </c>
      <c r="G7" s="6">
        <v>0</v>
      </c>
      <c r="H7" s="6">
        <v>0</v>
      </c>
      <c r="I7" s="6">
        <v>0</v>
      </c>
      <c r="J7" s="7">
        <v>2203</v>
      </c>
    </row>
    <row r="8" spans="1:10" x14ac:dyDescent="0.4">
      <c r="A8" s="4" t="s">
        <v>6</v>
      </c>
      <c r="B8" s="6">
        <v>1</v>
      </c>
      <c r="C8" s="6">
        <v>0</v>
      </c>
      <c r="D8" s="6">
        <v>23</v>
      </c>
      <c r="E8" s="5">
        <v>721</v>
      </c>
      <c r="F8" s="6">
        <v>0</v>
      </c>
      <c r="G8" s="6">
        <v>1</v>
      </c>
      <c r="H8" s="6">
        <v>0</v>
      </c>
      <c r="I8" s="6">
        <v>2</v>
      </c>
      <c r="J8" s="7">
        <v>3439</v>
      </c>
    </row>
    <row r="9" spans="1:10" x14ac:dyDescent="0.4">
      <c r="A9" s="4" t="s">
        <v>7</v>
      </c>
      <c r="B9" s="6">
        <v>0</v>
      </c>
      <c r="C9" s="6">
        <v>7</v>
      </c>
      <c r="D9" s="6">
        <v>0</v>
      </c>
      <c r="E9" s="6">
        <v>0</v>
      </c>
      <c r="F9" s="5">
        <v>728</v>
      </c>
      <c r="G9" s="6">
        <v>0</v>
      </c>
      <c r="H9" s="6">
        <v>0</v>
      </c>
      <c r="I9" s="6">
        <v>0</v>
      </c>
      <c r="J9" s="7">
        <v>1483</v>
      </c>
    </row>
    <row r="10" spans="1:10" x14ac:dyDescent="0.4">
      <c r="A10" s="4" t="s">
        <v>8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5">
        <v>526</v>
      </c>
      <c r="H10" s="6">
        <v>0</v>
      </c>
      <c r="I10" s="6">
        <v>0</v>
      </c>
      <c r="J10" s="7">
        <v>535</v>
      </c>
    </row>
    <row r="11" spans="1:10" x14ac:dyDescent="0.4">
      <c r="A11" s="4" t="s">
        <v>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1</v>
      </c>
      <c r="H11" s="5">
        <v>577</v>
      </c>
      <c r="I11" s="6">
        <v>10</v>
      </c>
      <c r="J11" s="7">
        <v>1544</v>
      </c>
    </row>
    <row r="12" spans="1:10" x14ac:dyDescent="0.4">
      <c r="A12" s="4" t="s">
        <v>10</v>
      </c>
      <c r="B12" s="6">
        <v>8</v>
      </c>
      <c r="C12" s="6">
        <v>0</v>
      </c>
      <c r="D12" s="6">
        <v>11</v>
      </c>
      <c r="E12" s="6">
        <v>0</v>
      </c>
      <c r="F12" s="6">
        <v>0</v>
      </c>
      <c r="G12" s="6">
        <v>0</v>
      </c>
      <c r="H12" s="6">
        <v>8</v>
      </c>
      <c r="I12" s="5">
        <v>554</v>
      </c>
      <c r="J12" s="7">
        <v>3825</v>
      </c>
    </row>
    <row r="13" spans="1:10" x14ac:dyDescent="0.4">
      <c r="A13" s="8" t="s">
        <v>12</v>
      </c>
      <c r="B13" s="9">
        <v>6</v>
      </c>
      <c r="C13" s="9">
        <v>28</v>
      </c>
      <c r="D13" s="9">
        <v>28</v>
      </c>
      <c r="E13" s="9">
        <v>45</v>
      </c>
      <c r="F13" s="9">
        <v>7</v>
      </c>
      <c r="G13" s="9">
        <v>16</v>
      </c>
      <c r="H13" s="9">
        <v>81</v>
      </c>
      <c r="I13" s="9">
        <v>47</v>
      </c>
      <c r="J13" s="10"/>
    </row>
    <row r="14" spans="1:10" x14ac:dyDescent="0.4">
      <c r="A14" s="4" t="s">
        <v>13</v>
      </c>
      <c r="B14" s="11">
        <f t="shared" ref="B14:I14" si="0">SUM(B5:B13)</f>
        <v>477</v>
      </c>
      <c r="C14" s="11">
        <f t="shared" si="0"/>
        <v>467</v>
      </c>
      <c r="D14" s="11">
        <f t="shared" si="0"/>
        <v>779</v>
      </c>
      <c r="E14" s="11">
        <f t="shared" si="0"/>
        <v>793</v>
      </c>
      <c r="F14" s="11">
        <f t="shared" si="0"/>
        <v>735</v>
      </c>
      <c r="G14" s="11">
        <f t="shared" si="0"/>
        <v>545</v>
      </c>
      <c r="H14" s="11">
        <f t="shared" si="0"/>
        <v>666</v>
      </c>
      <c r="I14" s="11">
        <f t="shared" si="0"/>
        <v>620</v>
      </c>
      <c r="J14" s="10"/>
    </row>
    <row r="15" spans="1:10" x14ac:dyDescent="0.4">
      <c r="A15" s="4" t="s">
        <v>14</v>
      </c>
      <c r="B15" s="12">
        <f>IF(B14=0,0,B5/B14)</f>
        <v>0.96645702306079662</v>
      </c>
      <c r="C15" s="12">
        <f>IF(C14=0,0,C6/C14)</f>
        <v>0.92291220556745179</v>
      </c>
      <c r="D15" s="12">
        <f>IF(D14=0,0,D7/D14)</f>
        <v>0.92041078305519897</v>
      </c>
      <c r="E15" s="12">
        <f>IF(E14=0,0,E8/E14)</f>
        <v>0.90920554854981084</v>
      </c>
      <c r="F15" s="12">
        <f>IF(F14=0,0,F9/F14)</f>
        <v>0.99047619047619051</v>
      </c>
      <c r="G15" s="12">
        <f>IF(G14=0,0,G10/G14)</f>
        <v>0.96513761467889914</v>
      </c>
      <c r="H15" s="13">
        <f>IF(H14=0,0,H11/H14)</f>
        <v>0.86636636636636633</v>
      </c>
      <c r="I15" s="12">
        <f>IF(I14=0,0,I12/I14)</f>
        <v>0.8935483870967742</v>
      </c>
      <c r="J15" s="10"/>
    </row>
    <row r="16" spans="1:10" x14ac:dyDescent="0.4">
      <c r="A16" s="4" t="s">
        <v>15</v>
      </c>
      <c r="B16" s="14">
        <f t="shared" ref="B16:I16" si="1">IF(B14=0,0,B13/B14)</f>
        <v>1.2578616352201259E-2</v>
      </c>
      <c r="C16" s="14">
        <f t="shared" si="1"/>
        <v>5.9957173447537475E-2</v>
      </c>
      <c r="D16" s="14">
        <f t="shared" si="1"/>
        <v>3.5943517329910142E-2</v>
      </c>
      <c r="E16" s="14">
        <f t="shared" si="1"/>
        <v>5.6746532156368219E-2</v>
      </c>
      <c r="F16" s="14">
        <f t="shared" si="1"/>
        <v>9.5238095238095247E-3</v>
      </c>
      <c r="G16" s="14">
        <f t="shared" si="1"/>
        <v>2.9357798165137616E-2</v>
      </c>
      <c r="H16" s="14">
        <f t="shared" si="1"/>
        <v>0.12162162162162163</v>
      </c>
      <c r="I16" s="14">
        <f t="shared" si="1"/>
        <v>7.5806451612903225E-2</v>
      </c>
      <c r="J16" s="10"/>
    </row>
    <row r="18" spans="1:2" x14ac:dyDescent="0.4">
      <c r="A18" s="4" t="s">
        <v>16</v>
      </c>
      <c r="B18" s="11">
        <f>SUM(B14:I14)</f>
        <v>5082</v>
      </c>
    </row>
    <row r="19" spans="1:2" x14ac:dyDescent="0.4">
      <c r="A19" s="4" t="s">
        <v>17</v>
      </c>
      <c r="B19" s="12">
        <f>IF(B18=0,0,(B5+C6+D7+E8+F9+G10+H11+I12)/B18)</f>
        <v>0.92778433687524597</v>
      </c>
    </row>
    <row r="20" spans="1:2" x14ac:dyDescent="0.4">
      <c r="A20" s="4" t="s">
        <v>18</v>
      </c>
      <c r="B20" s="12">
        <f>IF(B18=0,0,SUM(B13:I13)/B18)</f>
        <v>5.0767414403778043E-2</v>
      </c>
    </row>
    <row r="22" spans="1:2" x14ac:dyDescent="0.4">
      <c r="A22" s="15" t="s">
        <v>19</v>
      </c>
    </row>
    <row r="23" spans="1:2" x14ac:dyDescent="0.4">
      <c r="A23" s="16" t="s">
        <v>20</v>
      </c>
    </row>
    <row r="24" spans="1:2" x14ac:dyDescent="0.4">
      <c r="A24" s="16" t="s">
        <v>21</v>
      </c>
    </row>
    <row r="25" spans="1:2" x14ac:dyDescent="0.4">
      <c r="A25" s="16" t="s">
        <v>22</v>
      </c>
    </row>
    <row r="26" spans="1:2" x14ac:dyDescent="0.4">
      <c r="A26" s="16" t="s">
        <v>23</v>
      </c>
    </row>
    <row r="27" spans="1:2" x14ac:dyDescent="0.4">
      <c r="A27" s="16" t="s">
        <v>24</v>
      </c>
    </row>
    <row r="28" spans="1:2" x14ac:dyDescent="0.4">
      <c r="A28" s="16" t="s">
        <v>25</v>
      </c>
    </row>
  </sheetData>
  <phoneticPr fontId="6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30" customWidth="1"/>
    <col min="2" max="8" width="14" customWidth="1"/>
  </cols>
  <sheetData>
    <row r="1" spans="1:8" ht="18.600000000000001" x14ac:dyDescent="0.4">
      <c r="A1" s="1" t="s">
        <v>26</v>
      </c>
    </row>
    <row r="2" spans="1:8" x14ac:dyDescent="0.4">
      <c r="A2" s="2" t="s">
        <v>27</v>
      </c>
    </row>
    <row r="4" spans="1:8" ht="31.95" customHeight="1" x14ac:dyDescent="0.4">
      <c r="A4" s="3" t="s">
        <v>2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8</v>
      </c>
      <c r="G4" s="3" t="s">
        <v>32</v>
      </c>
      <c r="H4" s="3" t="s">
        <v>11</v>
      </c>
    </row>
    <row r="5" spans="1:8" x14ac:dyDescent="0.4">
      <c r="A5" s="4" t="s">
        <v>28</v>
      </c>
      <c r="B5" s="5">
        <v>67</v>
      </c>
      <c r="C5" s="6">
        <v>0</v>
      </c>
      <c r="D5" s="6">
        <v>1</v>
      </c>
      <c r="E5" s="6">
        <v>0</v>
      </c>
      <c r="F5" s="6">
        <v>0</v>
      </c>
      <c r="G5" s="6">
        <v>0</v>
      </c>
      <c r="H5" s="7">
        <v>376</v>
      </c>
    </row>
    <row r="6" spans="1:8" x14ac:dyDescent="0.4">
      <c r="A6" s="4" t="s">
        <v>29</v>
      </c>
      <c r="B6" s="6">
        <v>1</v>
      </c>
      <c r="C6" s="5">
        <v>19</v>
      </c>
      <c r="D6" s="6">
        <v>1</v>
      </c>
      <c r="E6" s="6">
        <v>6</v>
      </c>
      <c r="F6" s="6">
        <v>4</v>
      </c>
      <c r="G6" s="6">
        <v>0</v>
      </c>
      <c r="H6" s="7">
        <v>531</v>
      </c>
    </row>
    <row r="7" spans="1:8" x14ac:dyDescent="0.4">
      <c r="A7" s="4" t="s">
        <v>30</v>
      </c>
      <c r="B7" s="6">
        <v>2</v>
      </c>
      <c r="C7" s="6">
        <v>0</v>
      </c>
      <c r="D7" s="5">
        <v>31</v>
      </c>
      <c r="E7" s="6">
        <v>1</v>
      </c>
      <c r="F7" s="6">
        <v>2</v>
      </c>
      <c r="G7" s="6">
        <v>0</v>
      </c>
      <c r="H7" s="7">
        <v>1049</v>
      </c>
    </row>
    <row r="8" spans="1:8" x14ac:dyDescent="0.4">
      <c r="A8" s="4" t="s">
        <v>31</v>
      </c>
      <c r="B8" s="6">
        <v>2</v>
      </c>
      <c r="C8" s="6">
        <v>0</v>
      </c>
      <c r="D8" s="6">
        <v>0</v>
      </c>
      <c r="E8" s="5">
        <v>54</v>
      </c>
      <c r="F8" s="6">
        <v>0</v>
      </c>
      <c r="G8" s="6">
        <v>1</v>
      </c>
      <c r="H8" s="7">
        <v>2758</v>
      </c>
    </row>
    <row r="9" spans="1:8" x14ac:dyDescent="0.4">
      <c r="A9" s="4" t="s">
        <v>8</v>
      </c>
      <c r="B9" s="6">
        <v>3</v>
      </c>
      <c r="C9" s="6">
        <v>12</v>
      </c>
      <c r="D9" s="6">
        <v>12</v>
      </c>
      <c r="E9" s="6">
        <v>6</v>
      </c>
      <c r="F9" s="5">
        <v>97</v>
      </c>
      <c r="G9" s="6">
        <v>0</v>
      </c>
      <c r="H9" s="7">
        <v>5217</v>
      </c>
    </row>
    <row r="10" spans="1:8" x14ac:dyDescent="0.4">
      <c r="A10" s="4" t="s">
        <v>32</v>
      </c>
      <c r="B10" s="6">
        <v>1</v>
      </c>
      <c r="C10" s="6">
        <v>1</v>
      </c>
      <c r="D10" s="6">
        <v>1</v>
      </c>
      <c r="E10" s="6">
        <v>0</v>
      </c>
      <c r="F10" s="6">
        <v>0</v>
      </c>
      <c r="G10" s="5">
        <v>24</v>
      </c>
      <c r="H10" s="7">
        <v>11</v>
      </c>
    </row>
    <row r="11" spans="1:8" x14ac:dyDescent="0.4">
      <c r="A11" s="8" t="s">
        <v>12</v>
      </c>
      <c r="B11" s="9">
        <v>1</v>
      </c>
      <c r="C11" s="9">
        <v>6</v>
      </c>
      <c r="D11" s="9">
        <v>2</v>
      </c>
      <c r="E11" s="9">
        <v>13</v>
      </c>
      <c r="F11" s="9">
        <v>13</v>
      </c>
      <c r="G11" s="9">
        <v>0</v>
      </c>
      <c r="H11" s="10"/>
    </row>
    <row r="12" spans="1:8" x14ac:dyDescent="0.4">
      <c r="A12" s="4" t="s">
        <v>13</v>
      </c>
      <c r="B12" s="11">
        <f t="shared" ref="B12:G12" si="0">SUM(B5:B11)</f>
        <v>77</v>
      </c>
      <c r="C12" s="11">
        <f t="shared" si="0"/>
        <v>38</v>
      </c>
      <c r="D12" s="11">
        <f t="shared" si="0"/>
        <v>48</v>
      </c>
      <c r="E12" s="11">
        <f t="shared" si="0"/>
        <v>80</v>
      </c>
      <c r="F12" s="11">
        <f t="shared" si="0"/>
        <v>116</v>
      </c>
      <c r="G12" s="11">
        <f t="shared" si="0"/>
        <v>25</v>
      </c>
      <c r="H12" s="10"/>
    </row>
    <row r="13" spans="1:8" x14ac:dyDescent="0.4">
      <c r="A13" s="4" t="s">
        <v>14</v>
      </c>
      <c r="B13" s="12">
        <f>IF(B12=0,0,B5/B12)</f>
        <v>0.87012987012987009</v>
      </c>
      <c r="C13" s="13">
        <f>IF(C12=0,0,C6/C12)</f>
        <v>0.5</v>
      </c>
      <c r="D13" s="12">
        <f>IF(D12=0,0,D7/D12)</f>
        <v>0.64583333333333337</v>
      </c>
      <c r="E13" s="12">
        <f>IF(E12=0,0,E8/E12)</f>
        <v>0.67500000000000004</v>
      </c>
      <c r="F13" s="12">
        <f>IF(F12=0,0,F9/F12)</f>
        <v>0.83620689655172409</v>
      </c>
      <c r="G13" s="12">
        <f>IF(G12=0,0,G10/G12)</f>
        <v>0.96</v>
      </c>
      <c r="H13" s="10"/>
    </row>
    <row r="14" spans="1:8" x14ac:dyDescent="0.4">
      <c r="A14" s="4" t="s">
        <v>15</v>
      </c>
      <c r="B14" s="14">
        <f t="shared" ref="B14:G14" si="1">IF(B12=0,0,B11/B12)</f>
        <v>1.2987012987012988E-2</v>
      </c>
      <c r="C14" s="14">
        <f t="shared" si="1"/>
        <v>0.15789473684210525</v>
      </c>
      <c r="D14" s="14">
        <f t="shared" si="1"/>
        <v>4.1666666666666664E-2</v>
      </c>
      <c r="E14" s="14">
        <f t="shared" si="1"/>
        <v>0.16250000000000001</v>
      </c>
      <c r="F14" s="14">
        <f t="shared" si="1"/>
        <v>0.11206896551724138</v>
      </c>
      <c r="G14" s="14">
        <f t="shared" si="1"/>
        <v>0</v>
      </c>
      <c r="H14" s="10"/>
    </row>
    <row r="16" spans="1:8" x14ac:dyDescent="0.4">
      <c r="A16" s="4" t="s">
        <v>16</v>
      </c>
      <c r="B16" s="11">
        <f>SUM(B12:G12)</f>
        <v>384</v>
      </c>
    </row>
    <row r="17" spans="1:2" x14ac:dyDescent="0.4">
      <c r="A17" s="4" t="s">
        <v>17</v>
      </c>
      <c r="B17" s="12">
        <f>IF(B16=0,0,(B5+C6+D7+E8+F9+G10)/B16)</f>
        <v>0.76041666666666663</v>
      </c>
    </row>
    <row r="18" spans="1:2" x14ac:dyDescent="0.4">
      <c r="A18" s="4" t="s">
        <v>18</v>
      </c>
      <c r="B18" s="12">
        <f>IF(B16=0,0,SUM(B11:G11)/B16)</f>
        <v>9.1145833333333329E-2</v>
      </c>
    </row>
    <row r="20" spans="1:2" x14ac:dyDescent="0.4">
      <c r="A20" s="15" t="s">
        <v>19</v>
      </c>
    </row>
    <row r="21" spans="1:2" x14ac:dyDescent="0.4">
      <c r="A21" s="16" t="s">
        <v>20</v>
      </c>
    </row>
    <row r="22" spans="1:2" x14ac:dyDescent="0.4">
      <c r="A22" s="16" t="s">
        <v>21</v>
      </c>
    </row>
    <row r="23" spans="1:2" x14ac:dyDescent="0.4">
      <c r="A23" s="16" t="s">
        <v>22</v>
      </c>
    </row>
    <row r="24" spans="1:2" x14ac:dyDescent="0.4">
      <c r="A24" s="16" t="s">
        <v>23</v>
      </c>
    </row>
    <row r="25" spans="1:2" x14ac:dyDescent="0.4">
      <c r="A25" s="16" t="s">
        <v>24</v>
      </c>
    </row>
    <row r="26" spans="1:2" x14ac:dyDescent="0.4">
      <c r="A26" s="16" t="s">
        <v>33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PCB</vt:lpstr>
      <vt:lpstr>Metal 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기석 신</cp:lastModifiedBy>
  <dcterms:created xsi:type="dcterms:W3CDTF">2026-10-17T06:52:56Z</dcterms:created>
  <dcterms:modified xsi:type="dcterms:W3CDTF">2026-10-17T06:52:58Z</dcterms:modified>
</cp:coreProperties>
</file>